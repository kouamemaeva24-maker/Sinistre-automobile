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maxe\OneDrive\Bureau\Pratique portfolios MAeva\"/>
    </mc:Choice>
  </mc:AlternateContent>
  <xr:revisionPtr revIDLastSave="0" documentId="8_{3F5DD6E4-A238-4A56-99D7-CE1F02D27156}" xr6:coauthVersionLast="47" xr6:coauthVersionMax="47" xr10:uidLastSave="{00000000-0000-0000-0000-000000000000}"/>
  <bookViews>
    <workbookView xWindow="-110" yWindow="-110" windowWidth="19420" windowHeight="10300" xr2:uid="{CF07FD60-B295-4525-AF4B-580F94023658}"/>
  </bookViews>
  <sheets>
    <sheet name="Reg ADM" sheetId="3" r:id="rId1"/>
    <sheet name="Gravité" sheetId="1" r:id="rId2"/>
    <sheet name="Collision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22" i="3" l="1"/>
  <c r="C4" i="3"/>
  <c r="C12" i="2"/>
  <c r="C8" i="1"/>
</calcChain>
</file>

<file path=xl/sharedStrings.xml><?xml version="1.0" encoding="utf-8"?>
<sst xmlns="http://schemas.openxmlformats.org/spreadsheetml/2006/main" count="40" uniqueCount="34">
  <si>
    <t>Étiquettes de lignes</t>
  </si>
  <si>
    <t>Nombre de GRAVITE</t>
  </si>
  <si>
    <t>Dommages matériels inférieurs au seuil de rapportage</t>
  </si>
  <si>
    <t>Dommages matériels seulement</t>
  </si>
  <si>
    <t>Léger</t>
  </si>
  <si>
    <t>Mortel ou grave</t>
  </si>
  <si>
    <t>Total général</t>
  </si>
  <si>
    <t>En pourcentage</t>
  </si>
  <si>
    <t>Nombre de CD_GENRE_ACCDN</t>
  </si>
  <si>
    <t>animal</t>
  </si>
  <si>
    <t>autre</t>
  </si>
  <si>
    <t>cycliste</t>
  </si>
  <si>
    <t>objet fixe</t>
  </si>
  <si>
    <t>piéton</t>
  </si>
  <si>
    <t>sans collision</t>
  </si>
  <si>
    <t>véhicule</t>
  </si>
  <si>
    <t>Nombre de 			"REG_ADM"</t>
  </si>
  <si>
    <t>Abitibi-Témiscamingue (08)</t>
  </si>
  <si>
    <t>Bas-Saint-Laurent (01)</t>
  </si>
  <si>
    <t>Capitale-Nationale (03)</t>
  </si>
  <si>
    <t>Centre-du-Québec (17)</t>
  </si>
  <si>
    <t>Chaudière-Appalaches (12)</t>
  </si>
  <si>
    <t>Côte-Nord (09)</t>
  </si>
  <si>
    <t>Estrie (05)</t>
  </si>
  <si>
    <t>Gaspésie/-Îles-de-la-Madeleine (11)</t>
  </si>
  <si>
    <t>Lanaudière (14)</t>
  </si>
  <si>
    <t>Laurentides (15)</t>
  </si>
  <si>
    <t>Laval (13)</t>
  </si>
  <si>
    <t>Mauricie (04)</t>
  </si>
  <si>
    <t>Montérégie (16)</t>
  </si>
  <si>
    <t>Montréal (06)</t>
  </si>
  <si>
    <t>Nord-du-Québec (10)</t>
  </si>
  <si>
    <t>Outaouais (07)</t>
  </si>
  <si>
    <t>Saguenay/-Lac-Saint-Jean (02)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</si>
</sst>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0" fontId="0" fillId="0" borderId="0" xfId="1" applyNumberFormat="1" applyFont="1"/>
    <xf numFmtId="0" fontId="2" fillId="0" borderId="0" xfId="0" applyFont="1"/>
    <xf numFmtId="0" fontId="2" fillId="0" borderId="1" xfId="0" applyFont="1" applyBorder="1"/>
    <xf numFmtId="10" fontId="2" fillId="0" borderId="2" xfId="1" applyNumberFormat="1" applyFont="1" applyBorder="1"/>
    <xf numFmtId="0" fontId="2" fillId="0" borderId="2" xfId="0" applyFont="1" applyBorder="1"/>
  </cellXfs>
  <cellStyles count="2">
    <cellStyle name="Normal" xfId="0" builtinId="0"/>
    <cellStyle name="Pourcentage" xfId="1" builtinId="5"/>
  </cellStyles>
  <dxfs count="2">
    <dxf>
      <numFmt numFmtId="14" formatCode="0.00%"/>
    </dxf>
    <dxf>
      <numFmt numFmtId="14" formatCode="0.0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74EC524-CF77-4C38-82D2-7085070C349B}" name="Tableau3" displayName="Tableau3" ref="A3:C22" totalsRowShown="0">
  <autoFilter ref="A3:C22" xr:uid="{E74EC524-CF77-4C38-82D2-7085070C349B}"/>
  <tableColumns count="3">
    <tableColumn id="1" xr3:uid="{E709450C-7B53-41F8-A107-376241C9AF9D}" name="Étiquettes de lignes"/>
    <tableColumn id="2" xr3:uid="{3C2ACD31-1B40-464E-8CA6-675EACBEA9AE}" name="Nombre de _x0009__x0009__x0009_&quot;REG_ADM&quot;"/>
    <tableColumn id="3" xr3:uid="{A20E5B83-5396-4E12-BFCA-4F2CABDBF944}" name="En pou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87408A-1427-4DBA-8575-26B6FE825681}" name="Tableau1" displayName="Tableau1" ref="A3:C8" totalsRowShown="0">
  <autoFilter ref="A3:C8" xr:uid="{4B87408A-1427-4DBA-8575-26B6FE825681}"/>
  <tableColumns count="3">
    <tableColumn id="1" xr3:uid="{4F15768E-066A-4CE9-B2D8-AF53F4389F20}" name="Étiquettes de lignes"/>
    <tableColumn id="2" xr3:uid="{F7ABEAC7-CB55-40D0-B78A-8CEB55B3B3E4}" name="Nombre de GRAVITE"/>
    <tableColumn id="3" xr3:uid="{2DAFF8A0-C328-4B24-94EC-0C4DB6F9893B}" name="En pourcentage" dataDxfId="1" dataCellStyle="Pourcentage"/>
  </tableColumns>
  <tableStyleInfo name="TableStyleMedium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CA6EE7-4757-4F0A-81F1-A59A7476A702}" name="Tableau2" displayName="Tableau2" ref="A3:C12" totalsRowShown="0">
  <autoFilter ref="A3:C12" xr:uid="{B1CA6EE7-4757-4F0A-81F1-A59A7476A702}"/>
  <tableColumns count="3">
    <tableColumn id="1" xr3:uid="{9BF387B6-9B0C-4BCB-A161-53D67DBC3663}" name="Étiquettes de lignes"/>
    <tableColumn id="2" xr3:uid="{DC21D69B-DA10-4FF4-8E22-E5155FDD3436}" name="Nombre de CD_GENRE_ACCDN"/>
    <tableColumn id="3" xr3:uid="{7B2106E8-657B-4BD0-861E-654196CB48CD}" name="En pourcentage" dataDxfId="0" dataCellStyle="Pourcentag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296DF4-EDB0-4319-9F83-357D6043E640}">
  <dimension ref="A3:C22"/>
  <sheetViews>
    <sheetView tabSelected="1" workbookViewId="0">
      <selection activeCell="G22" sqref="G22"/>
    </sheetView>
  </sheetViews>
  <sheetFormatPr baseColWidth="10" defaultRowHeight="14.5" x14ac:dyDescent="0.35"/>
  <cols>
    <col min="1" max="1" width="19.1796875" customWidth="1"/>
    <col min="2" max="2" width="24.26953125" customWidth="1"/>
    <col min="3" max="3" width="18.54296875" customWidth="1"/>
  </cols>
  <sheetData>
    <row r="3" spans="1:3" x14ac:dyDescent="0.35">
      <c r="A3" t="s">
        <v>0</v>
      </c>
      <c r="B3" t="s">
        <v>16</v>
      </c>
      <c r="C3" t="s">
        <v>7</v>
      </c>
    </row>
    <row r="4" spans="1:3" x14ac:dyDescent="0.35">
      <c r="B4">
        <v>8</v>
      </c>
      <c r="C4" s="1">
        <f>Tableau3[[#This Row],[Nombre de 			"REG_ADM"]]/B22</f>
        <v>7.3946721387240497E-5</v>
      </c>
    </row>
    <row r="5" spans="1:3" x14ac:dyDescent="0.35">
      <c r="A5" t="s">
        <v>17</v>
      </c>
      <c r="B5">
        <v>2764</v>
      </c>
      <c r="C5" s="1">
        <v>2.5548592239291592E-2</v>
      </c>
    </row>
    <row r="6" spans="1:3" x14ac:dyDescent="0.35">
      <c r="A6" t="s">
        <v>18</v>
      </c>
      <c r="B6">
        <v>4017</v>
      </c>
      <c r="C6" s="1">
        <v>3.7130497476568131E-2</v>
      </c>
    </row>
    <row r="7" spans="1:3" x14ac:dyDescent="0.35">
      <c r="A7" t="s">
        <v>19</v>
      </c>
      <c r="B7">
        <v>8672</v>
      </c>
      <c r="C7" s="1">
        <v>8.0158245983768694E-2</v>
      </c>
    </row>
    <row r="8" spans="1:3" x14ac:dyDescent="0.35">
      <c r="A8" t="s">
        <v>20</v>
      </c>
      <c r="B8">
        <v>4284</v>
      </c>
      <c r="C8" s="1">
        <v>3.9598469302867284E-2</v>
      </c>
    </row>
    <row r="9" spans="1:3" x14ac:dyDescent="0.35">
      <c r="A9" t="s">
        <v>21</v>
      </c>
      <c r="B9">
        <v>7012</v>
      </c>
      <c r="C9" s="1">
        <v>6.4814301295916296E-2</v>
      </c>
    </row>
    <row r="10" spans="1:3" x14ac:dyDescent="0.35">
      <c r="A10" t="s">
        <v>22</v>
      </c>
      <c r="B10">
        <v>1813</v>
      </c>
      <c r="C10" s="1">
        <v>1.6758175734383377E-2</v>
      </c>
    </row>
    <row r="11" spans="1:3" x14ac:dyDescent="0.35">
      <c r="A11" t="s">
        <v>23</v>
      </c>
      <c r="B11">
        <v>6941</v>
      </c>
      <c r="C11" s="1">
        <v>6.4158024143604539E-2</v>
      </c>
    </row>
    <row r="12" spans="1:3" x14ac:dyDescent="0.35">
      <c r="A12" t="s">
        <v>24</v>
      </c>
      <c r="B12">
        <v>1615</v>
      </c>
      <c r="C12" s="1">
        <v>1.4927994380049174E-2</v>
      </c>
    </row>
    <row r="13" spans="1:3" x14ac:dyDescent="0.35">
      <c r="A13" t="s">
        <v>25</v>
      </c>
      <c r="B13">
        <v>6552</v>
      </c>
      <c r="C13" s="1">
        <v>6.0562364816149961E-2</v>
      </c>
    </row>
    <row r="14" spans="1:3" x14ac:dyDescent="0.35">
      <c r="A14" t="s">
        <v>26</v>
      </c>
      <c r="B14">
        <v>8595</v>
      </c>
      <c r="C14" s="1">
        <v>7.9446508790416509E-2</v>
      </c>
    </row>
    <row r="15" spans="1:3" x14ac:dyDescent="0.35">
      <c r="A15" t="s">
        <v>27</v>
      </c>
      <c r="B15">
        <v>5336</v>
      </c>
      <c r="C15" s="1">
        <v>4.9322463165289411E-2</v>
      </c>
    </row>
    <row r="16" spans="1:3" x14ac:dyDescent="0.35">
      <c r="A16" t="s">
        <v>28</v>
      </c>
      <c r="B16">
        <v>3656</v>
      </c>
      <c r="C16" s="1">
        <v>3.3793651673968902E-2</v>
      </c>
    </row>
    <row r="17" spans="1:3" x14ac:dyDescent="0.35">
      <c r="A17" t="s">
        <v>29</v>
      </c>
      <c r="B17">
        <v>16928</v>
      </c>
      <c r="C17" s="1">
        <v>0.15647126245540088</v>
      </c>
    </row>
    <row r="18" spans="1:3" x14ac:dyDescent="0.35">
      <c r="A18" t="s">
        <v>30</v>
      </c>
      <c r="B18">
        <v>20662</v>
      </c>
      <c r="C18" s="1">
        <v>0.19098589466289539</v>
      </c>
    </row>
    <row r="19" spans="1:3" x14ac:dyDescent="0.35">
      <c r="A19" t="s">
        <v>31</v>
      </c>
      <c r="B19">
        <v>372</v>
      </c>
      <c r="C19" s="1">
        <v>3.4385225445066831E-3</v>
      </c>
    </row>
    <row r="20" spans="1:3" x14ac:dyDescent="0.35">
      <c r="A20" t="s">
        <v>32</v>
      </c>
      <c r="B20">
        <v>5596</v>
      </c>
      <c r="C20" s="1">
        <v>5.1725731610374727E-2</v>
      </c>
    </row>
    <row r="21" spans="1:3" x14ac:dyDescent="0.35">
      <c r="A21" t="s">
        <v>33</v>
      </c>
      <c r="B21">
        <v>3363</v>
      </c>
      <c r="C21" s="1">
        <v>3.1085353003161221E-2</v>
      </c>
    </row>
    <row r="22" spans="1:3" x14ac:dyDescent="0.35">
      <c r="A22" s="2" t="s">
        <v>6</v>
      </c>
      <c r="B22" s="3">
        <v>108186</v>
      </c>
      <c r="C22" s="5">
        <f>SUM(C4:C21)</f>
        <v>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59EDE-262D-44F4-9D94-B3756BF581CC}">
  <dimension ref="A3:C8"/>
  <sheetViews>
    <sheetView workbookViewId="0">
      <selection activeCell="C14" sqref="C14"/>
    </sheetView>
  </sheetViews>
  <sheetFormatPr baseColWidth="10" defaultRowHeight="14.5" x14ac:dyDescent="0.35"/>
  <cols>
    <col min="1" max="1" width="46.54296875" customWidth="1"/>
    <col min="2" max="2" width="19.36328125" customWidth="1"/>
    <col min="3" max="3" width="18.54296875" customWidth="1"/>
  </cols>
  <sheetData>
    <row r="3" spans="1:3" x14ac:dyDescent="0.35">
      <c r="A3" t="s">
        <v>0</v>
      </c>
      <c r="B3" t="s">
        <v>1</v>
      </c>
      <c r="C3" t="s">
        <v>7</v>
      </c>
    </row>
    <row r="4" spans="1:3" x14ac:dyDescent="0.35">
      <c r="A4" t="s">
        <v>2</v>
      </c>
      <c r="B4">
        <v>24100</v>
      </c>
      <c r="C4" s="1">
        <v>0.22276449817906199</v>
      </c>
    </row>
    <row r="5" spans="1:3" x14ac:dyDescent="0.35">
      <c r="A5" t="s">
        <v>3</v>
      </c>
      <c r="B5">
        <v>61588</v>
      </c>
      <c r="C5" s="1">
        <v>0.56927883459967099</v>
      </c>
    </row>
    <row r="6" spans="1:3" x14ac:dyDescent="0.35">
      <c r="A6" t="s">
        <v>4</v>
      </c>
      <c r="B6">
        <v>21101</v>
      </c>
      <c r="C6" s="1">
        <v>0.1950437209990202</v>
      </c>
    </row>
    <row r="7" spans="1:3" x14ac:dyDescent="0.35">
      <c r="A7" t="s">
        <v>5</v>
      </c>
      <c r="B7">
        <v>1397</v>
      </c>
      <c r="C7" s="1">
        <v>1.2912946222246872E-2</v>
      </c>
    </row>
    <row r="8" spans="1:3" x14ac:dyDescent="0.35">
      <c r="A8" t="s">
        <v>6</v>
      </c>
      <c r="B8" s="3">
        <v>108186</v>
      </c>
      <c r="C8" s="4">
        <f>SUM(C4:C7)</f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CDCB7-25A0-4A9B-9788-8479EA3BCF16}">
  <dimension ref="A3:C12"/>
  <sheetViews>
    <sheetView workbookViewId="0">
      <selection activeCell="B17" sqref="B17"/>
    </sheetView>
  </sheetViews>
  <sheetFormatPr baseColWidth="10" defaultRowHeight="14.5" x14ac:dyDescent="0.35"/>
  <cols>
    <col min="1" max="1" width="19.1796875" customWidth="1"/>
    <col min="2" max="2" width="28.36328125" customWidth="1"/>
    <col min="3" max="3" width="15.7265625" customWidth="1"/>
  </cols>
  <sheetData>
    <row r="3" spans="1:3" x14ac:dyDescent="0.35">
      <c r="A3" t="s">
        <v>0</v>
      </c>
      <c r="B3" t="s">
        <v>8</v>
      </c>
      <c r="C3" t="s">
        <v>7</v>
      </c>
    </row>
    <row r="4" spans="1:3" x14ac:dyDescent="0.35">
      <c r="B4">
        <v>831</v>
      </c>
      <c r="C4" s="1">
        <v>7.6812156840996059E-3</v>
      </c>
    </row>
    <row r="5" spans="1:3" x14ac:dyDescent="0.35">
      <c r="A5" t="s">
        <v>9</v>
      </c>
      <c r="B5">
        <v>8137</v>
      </c>
      <c r="C5" s="1">
        <v>7.5213058990996992E-2</v>
      </c>
    </row>
    <row r="6" spans="1:3" x14ac:dyDescent="0.35">
      <c r="A6" t="s">
        <v>10</v>
      </c>
      <c r="B6">
        <v>1882</v>
      </c>
      <c r="C6" s="1">
        <v>1.7395966206348326E-2</v>
      </c>
    </row>
    <row r="7" spans="1:3" x14ac:dyDescent="0.35">
      <c r="A7" t="s">
        <v>11</v>
      </c>
      <c r="B7">
        <v>1482</v>
      </c>
      <c r="C7" s="1">
        <v>1.3698630136986301E-2</v>
      </c>
    </row>
    <row r="8" spans="1:3" x14ac:dyDescent="0.35">
      <c r="A8" t="s">
        <v>12</v>
      </c>
      <c r="B8">
        <v>17355</v>
      </c>
      <c r="C8" s="1">
        <v>0.16041816870944484</v>
      </c>
    </row>
    <row r="9" spans="1:3" x14ac:dyDescent="0.35">
      <c r="A9" t="s">
        <v>13</v>
      </c>
      <c r="B9">
        <v>2228</v>
      </c>
      <c r="C9" s="1">
        <v>2.0594161906346477E-2</v>
      </c>
    </row>
    <row r="10" spans="1:3" x14ac:dyDescent="0.35">
      <c r="A10" t="s">
        <v>14</v>
      </c>
      <c r="B10">
        <v>9849</v>
      </c>
      <c r="C10" s="1">
        <v>9.1037657367866454E-2</v>
      </c>
    </row>
    <row r="11" spans="1:3" x14ac:dyDescent="0.35">
      <c r="A11" t="s">
        <v>15</v>
      </c>
      <c r="B11">
        <v>66422</v>
      </c>
      <c r="C11" s="1">
        <v>0.61396114099791099</v>
      </c>
    </row>
    <row r="12" spans="1:3" x14ac:dyDescent="0.35">
      <c r="A12" s="2" t="s">
        <v>6</v>
      </c>
      <c r="B12" s="3">
        <v>108186</v>
      </c>
      <c r="C12" s="4">
        <f>SUM(C4:C11)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Reg ADM</vt:lpstr>
      <vt:lpstr>Gravité</vt:lpstr>
      <vt:lpstr>Collision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Maxence Degni</dc:creator>
  <cp:lastModifiedBy>Maxence Degni</cp:lastModifiedBy>
  <dcterms:created xsi:type="dcterms:W3CDTF">2026-05-06T16:51:54Z</dcterms:created>
  <dcterms:modified xsi:type="dcterms:W3CDTF">2026-05-06T17:36:53Z</dcterms:modified>
</cp:coreProperties>
</file>